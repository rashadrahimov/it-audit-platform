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Audit Checklist" sheetId="2" state="visible" r:id="rId4"/>
    <sheet name="Summary" sheetId="3" state="visible" r:id="rId5"/>
  </sheets>
  <definedNames>
    <definedName function="false" hidden="true" localSheetId="1" name="_xlnm._FilterDatabase" vbProcedure="false">'Audit Checklist'!$A$3:$M$44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<sst xmlns="http://schemas.openxmlformats.org/spreadsheetml/2006/main" count="455" uniqueCount="306">
  <si>
    <t xml:space="preserve">IT AUDIT CHECKLIST</t>
  </si>
  <si>
    <t xml:space="preserve">Question → Auditee Response → Audit Finding → Action Plan → Ownership → Deadline</t>
  </si>
  <si>
    <t xml:space="preserve">Purpose</t>
  </si>
  <si>
    <t xml:space="preserve">A reusable working paper for conducting an IT / information-security audit. For each control the auditor poses a question, records the auditee's response and the evidence reviewed, judges compliance, and — where a gap exists — records a finding, a risk rating, an agreed action plan, an owner and a deadline. Progress is then tracked to closure.</t>
  </si>
  <si>
    <t xml:space="preserve">How to use</t>
  </si>
  <si>
    <t xml:space="preserve">1.  Fill the engagement details in row 2 of the ‘Audit Checklist’ sheet (organisation, audit period, auditor).</t>
  </si>
  <si>
    <t xml:space="preserve">2.  Work down the checklist. Ask each Question and record the Auditee Response and Evidence Reviewed.</t>
  </si>
  <si>
    <t xml:space="preserve">3.  Set Compliance Status and Risk Rating from the drop-downs (colour-coding is automatic).</t>
  </si>
  <si>
    <t xml:space="preserve">4.  Where not fully compliant, write the Audit Finding (the gap, phrased as risk) and the Recommendation / Action Plan.</t>
  </si>
  <si>
    <t xml:space="preserve">5.  Assign an Owner and a Target Deadline, and track Status (Open → In Progress → Closed).</t>
  </si>
  <si>
    <t xml:space="preserve">6.  The ‘Summary’ sheet auto-totals findings by status, risk and progress.</t>
  </si>
  <si>
    <t xml:space="preserve">Column legend</t>
  </si>
  <si>
    <t xml:space="preserve">Ref</t>
  </si>
  <si>
    <t xml:space="preserve">Unique control reference (domain prefix + number, e.g. AC-03).</t>
  </si>
  <si>
    <t xml:space="preserve">Domain / Control Area</t>
  </si>
  <si>
    <t xml:space="preserve">The control family (Access Control, Change Management, etc.).</t>
  </si>
  <si>
    <t xml:space="preserve">Control Objective</t>
  </si>
  <si>
    <t xml:space="preserve">What the control is meant to achieve.</t>
  </si>
  <si>
    <t xml:space="preserve">Audit Question</t>
  </si>
  <si>
    <t xml:space="preserve">The question put to the auditee.</t>
  </si>
  <si>
    <t xml:space="preserve">Auditee Response</t>
  </si>
  <si>
    <t xml:space="preserve">The auditee's answer, recorded verbatim/summarised.</t>
  </si>
  <si>
    <t xml:space="preserve">Evidence Reviewed</t>
  </si>
  <si>
    <t xml:space="preserve">Documents / screenshots / interviews that corroborate the response.</t>
  </si>
  <si>
    <t xml:space="preserve">Compliance Status</t>
  </si>
  <si>
    <t xml:space="preserve">Compliant · Partially Compliant · Non-Compliant · Not Applicable (drop-down).</t>
  </si>
  <si>
    <t xml:space="preserve">Risk Rating</t>
  </si>
  <si>
    <t xml:space="preserve">Critical · High · Medium · Low · N/A (drop-down) — severity if the gap is exploited.</t>
  </si>
  <si>
    <t xml:space="preserve">Audit Finding</t>
  </si>
  <si>
    <t xml:space="preserve">The gap identified from the response, stated as a risk to the organisation.</t>
  </si>
  <si>
    <t xml:space="preserve">Recommendation / Action Plan</t>
  </si>
  <si>
    <t xml:space="preserve">The agreed remediation action.</t>
  </si>
  <si>
    <t xml:space="preserve">Owner</t>
  </si>
  <si>
    <t xml:space="preserve">Person / team accountable for the action (Ownership).</t>
  </si>
  <si>
    <t xml:space="preserve">Target Deadline</t>
  </si>
  <si>
    <t xml:space="preserve">Agreed remediation date.</t>
  </si>
  <si>
    <t xml:space="preserve">Status</t>
  </si>
  <si>
    <t xml:space="preserve">Open · In Progress · Closed · Overdue · Not Started (drop-down).</t>
  </si>
  <si>
    <t xml:space="preserve">Note</t>
  </si>
  <si>
    <t xml:space="preserve">The rows in the ‘Audit Checklist’ sheet are fully-worked examples showing the expected format and the question→finding→action flow. Replace them with your own engagement data, or extend the blank template rows at the bottom. Editable cells are the whole grid; drop-down cells are Compliance Status, Risk Rating and Status.</t>
  </si>
  <si>
    <t xml:space="preserve">Organisation: ____________________     |     Audit period: ____________     |     Auditor: ____________________     |     Date: ____________</t>
  </si>
  <si>
    <t xml:space="preserve">GOV-01</t>
  </si>
  <si>
    <t xml:space="preserve">IT Governance</t>
  </si>
  <si>
    <t xml:space="preserve">Security policy governance</t>
  </si>
  <si>
    <t xml:space="preserve">Is there an approved Information Security Policy that is reviewed at least annually and communicated to all staff?</t>
  </si>
  <si>
    <t xml:space="preserve">ISMS policy exists, approved Jan 2022; published on intranet; not formally reviewed since.</t>
  </si>
  <si>
    <t xml:space="preserve">Policy PDF; intranet link</t>
  </si>
  <si>
    <t xml:space="preserve">Partially Compliant</t>
  </si>
  <si>
    <t xml:space="preserve">Medium</t>
  </si>
  <si>
    <t xml:space="preserve">Policy exists and is communicated, but the annual review cycle is not evidenced (last review &gt; 24 months old).</t>
  </si>
  <si>
    <t xml:space="preserve">Review and re-approve the Information Security Policy; establish a documented annual review cycle with management sign-off.</t>
  </si>
  <si>
    <t xml:space="preserve">CISO</t>
  </si>
  <si>
    <t xml:space="preserve">Open</t>
  </si>
  <si>
    <t xml:space="preserve">GOV-02</t>
  </si>
  <si>
    <t xml:space="preserve">Roles &amp; responsibilities</t>
  </si>
  <si>
    <t xml:space="preserve">Are information-security roles and responsibilities formally defined and assigned (e.g. a RACI)?</t>
  </si>
  <si>
    <t xml:space="preserve">Responsibilities understood informally; no documented RACI matrix.</t>
  </si>
  <si>
    <t xml:space="preserve">Interview notes</t>
  </si>
  <si>
    <t xml:space="preserve">Non-Compliant</t>
  </si>
  <si>
    <t xml:space="preserve">Security roles are not formally documented; accountability gaps risk unclear ownership during incidents.</t>
  </si>
  <si>
    <t xml:space="preserve">Define and approve a security RACI; assign a named owner for each control domain.</t>
  </si>
  <si>
    <t xml:space="preserve">GOV-03</t>
  </si>
  <si>
    <t xml:space="preserve">Risk management</t>
  </si>
  <si>
    <t xml:space="preserve">Is a documented IT risk assessment performed at least annually with a maintained risk register?</t>
  </si>
  <si>
    <t xml:space="preserve">Risk register maintained; last full assessment 2025-Q4; reviewed quarterly.</t>
  </si>
  <si>
    <t xml:space="preserve">Risk register</t>
  </si>
  <si>
    <t xml:space="preserve">Compliant</t>
  </si>
  <si>
    <t xml:space="preserve">Low</t>
  </si>
  <si>
    <t xml:space="preserve">Risk-assessment process is documented and current.</t>
  </si>
  <si>
    <t xml:space="preserve">No action required; continue quarterly reviews.</t>
  </si>
  <si>
    <t xml:space="preserve">Risk Manager</t>
  </si>
  <si>
    <t xml:space="preserve">Closed</t>
  </si>
  <si>
    <t xml:space="preserve">AC-01</t>
  </si>
  <si>
    <t xml:space="preserve">Access Control</t>
  </si>
  <si>
    <t xml:space="preserve">Least privilege / RBAC</t>
  </si>
  <si>
    <t xml:space="preserve">Is access granted on a least-privilege, role-based basis?</t>
  </si>
  <si>
    <t xml:space="preserve">AD security groups map to roles; however ~15 users retain local-admin rights on workstations.</t>
  </si>
  <si>
    <t xml:space="preserve">AD export; endpoint report</t>
  </si>
  <si>
    <t xml:space="preserve">High</t>
  </si>
  <si>
    <t xml:space="preserve">RBAC is largely implemented, but excessive local-administrator rights on workstations breach least privilege.</t>
  </si>
  <si>
    <t xml:space="preserve">Remove local-admin rights; implement a PAM solution for just-in-time privileged elevation.</t>
  </si>
  <si>
    <t xml:space="preserve">IT Operations</t>
  </si>
  <si>
    <t xml:space="preserve">AC-02</t>
  </si>
  <si>
    <t xml:space="preserve">Access recertification</t>
  </si>
  <si>
    <t xml:space="preserve">Are user access rights reviewed / recertified periodically?</t>
  </si>
  <si>
    <t xml:space="preserve">No formal periodic access review is performed.</t>
  </si>
  <si>
    <t xml:space="preserve">Absence of periodic access recertification creates privilege-creep and orphaned-entitlement risk.</t>
  </si>
  <si>
    <t xml:space="preserve">Implement quarterly access recertification for privileged and business-critical systems, with sign-off.</t>
  </si>
  <si>
    <t xml:space="preserve">IT Security</t>
  </si>
  <si>
    <t xml:space="preserve">AC-03</t>
  </si>
  <si>
    <t xml:space="preserve">Multi-factor authentication</t>
  </si>
  <si>
    <t xml:space="preserve">Is MFA enforced for remote, administrative and critical-application access?</t>
  </si>
  <si>
    <t xml:space="preserve">MFA on VPN and O365; not enforced on server/admin consoles or database access.</t>
  </si>
  <si>
    <t xml:space="preserve">Config screenshots</t>
  </si>
  <si>
    <t xml:space="preserve">MFA coverage is incomplete; privileged access to servers and databases lacks MFA.</t>
  </si>
  <si>
    <t xml:space="preserve">Extend MFA to all administrative, server, database and remote-privileged access.</t>
  </si>
  <si>
    <t xml:space="preserve">In Progress</t>
  </si>
  <si>
    <t xml:space="preserve">AC-04</t>
  </si>
  <si>
    <t xml:space="preserve">Account hygiene</t>
  </si>
  <si>
    <t xml:space="preserve">Are password policies enforced and default / generic / shared accounts prohibited?</t>
  </si>
  <si>
    <t xml:space="preserve">Domain password policy enforced (12 char + complexity); two shared service accounts in use.</t>
  </si>
  <si>
    <t xml:space="preserve">GPO export</t>
  </si>
  <si>
    <t xml:space="preserve">Password policy is enforced, but shared/generic accounts undermine individual accountability.</t>
  </si>
  <si>
    <t xml:space="preserve">Vault shared accounts in PAM with session logging, or replace with unique service identities.</t>
  </si>
  <si>
    <t xml:space="preserve">AC-05</t>
  </si>
  <si>
    <t xml:space="preserve">Joiner-Mover-Leaver</t>
  </si>
  <si>
    <t xml:space="preserve">Is there a formal JML process ensuring timely provisioning and de-provisioning?</t>
  </si>
  <si>
    <t xml:space="preserve">Leavers disabled via HR ticket, occasionally delayed; 3 active accounts found for ex-staff.</t>
  </si>
  <si>
    <t xml:space="preserve">Ticket sample; AD</t>
  </si>
  <si>
    <t xml:space="preserve">De-provisioning is not timely; active accounts for terminated staff represent an unauthorised-access risk.</t>
  </si>
  <si>
    <t xml:space="preserve">Automate JML with HR integration; SLA to disable within 24h of termination; monthly reconciliation.</t>
  </si>
  <si>
    <t xml:space="preserve">HR &amp; IT</t>
  </si>
  <si>
    <t xml:space="preserve">CM-01</t>
  </si>
  <si>
    <t xml:space="preserve">Change Management</t>
  </si>
  <si>
    <t xml:space="preserve">Change control</t>
  </si>
  <si>
    <t xml:space="preserve">Are production changes authorised, tested and documented (CAB / change process)?</t>
  </si>
  <si>
    <t xml:space="preserve">Changes tracked in Jira; emergency changes sometimes applied without prior approval.</t>
  </si>
  <si>
    <t xml:space="preserve">Change tickets</t>
  </si>
  <si>
    <t xml:space="preserve">Change process exists but emergency changes bypass authorisation and lack retrospective approval.</t>
  </si>
  <si>
    <t xml:space="preserve">Enforce change approval (incl. retrospective for emergencies); require test evidence and a rollback plan.</t>
  </si>
  <si>
    <t xml:space="preserve">CM-02</t>
  </si>
  <si>
    <t xml:space="preserve">Environment segregation</t>
  </si>
  <si>
    <t xml:space="preserve">Are development, test and production environments segregated?</t>
  </si>
  <si>
    <t xml:space="preserve">Separate prod and non-prod; developers have standing access to production.</t>
  </si>
  <si>
    <t xml:space="preserve">Architecture doc</t>
  </si>
  <si>
    <t xml:space="preserve">Environments are separated, but standing developer access to production weakens segregation of duties.</t>
  </si>
  <si>
    <t xml:space="preserve">Remove standing developer production access; grant time-bound, approved access via PAM.</t>
  </si>
  <si>
    <t xml:space="preserve">BK-01</t>
  </si>
  <si>
    <t xml:space="preserve">Backup &amp; Recovery</t>
  </si>
  <si>
    <t xml:space="preserve">Backup execution</t>
  </si>
  <si>
    <t xml:space="preserve">Are backups performed per policy, encrypted, and stored offsite / immutable?</t>
  </si>
  <si>
    <t xml:space="preserve">Daily backups to on-prem NAS and cloud; cloud copy encrypted; no immutability configured.</t>
  </si>
  <si>
    <t xml:space="preserve">Backup job logs</t>
  </si>
  <si>
    <t xml:space="preserve">Backups run and are encrypted, but the lack of immutability leaves them exposed to ransomware.</t>
  </si>
  <si>
    <t xml:space="preserve">Enable immutable / air-gapped backup copies; verify encryption of all copies.</t>
  </si>
  <si>
    <t xml:space="preserve">BK-02</t>
  </si>
  <si>
    <t xml:space="preserve">Restore testing</t>
  </si>
  <si>
    <t xml:space="preserve">Are backup restorations tested periodically to verify recoverability?</t>
  </si>
  <si>
    <t xml:space="preserve">Backups run daily; restore has never been formally tested.</t>
  </si>
  <si>
    <t xml:space="preserve">Recoverability is unverified; untested backups may fail during a real incident.</t>
  </si>
  <si>
    <t xml:space="preserve">Perform and document quarterly restore tests against defined RTO/RPO.</t>
  </si>
  <si>
    <t xml:space="preserve">DR-01</t>
  </si>
  <si>
    <t xml:space="preserve">Business Continuity</t>
  </si>
  <si>
    <t xml:space="preserve">DR / BCP plan</t>
  </si>
  <si>
    <t xml:space="preserve">Is there a documented DR/BCP plan with defined RTO/RPO, tested at least annually?</t>
  </si>
  <si>
    <t xml:space="preserve">DR plan drafted 2023; never tested; RTO/RPO defined for core systems only.</t>
  </si>
  <si>
    <t xml:space="preserve">DR plan doc</t>
  </si>
  <si>
    <t xml:space="preserve">The DR/BCP plan is untested and incomplete; continuity in a disaster scenario is unproven.</t>
  </si>
  <si>
    <t xml:space="preserve">Complete the DR plan for all critical systems; conduct and document an annual DR test.</t>
  </si>
  <si>
    <t xml:space="preserve">IT Manager</t>
  </si>
  <si>
    <t xml:space="preserve">NW-01</t>
  </si>
  <si>
    <t xml:space="preserve">Network Security</t>
  </si>
  <si>
    <t xml:space="preserve">Segmentation</t>
  </si>
  <si>
    <t xml:space="preserve">Is the network segmented (VLANs / DMZ) with sensitive environments isolated?</t>
  </si>
  <si>
    <t xml:space="preserve">Core VLAN segmentation in place; flat access between user and server VLANs.</t>
  </si>
  <si>
    <t xml:space="preserve">Network diagram</t>
  </si>
  <si>
    <t xml:space="preserve">Segmentation exists but insufficient isolation between user and server zones enables lateral movement.</t>
  </si>
  <si>
    <t xml:space="preserve">Implement least-access firewalling between zones; isolate sensitive / cardholder-data segments.</t>
  </si>
  <si>
    <t xml:space="preserve">Network Team</t>
  </si>
  <si>
    <t xml:space="preserve">NW-02</t>
  </si>
  <si>
    <t xml:space="preserve">Firewall governance</t>
  </si>
  <si>
    <t xml:space="preserve">Are firewall rule-sets documented and reviewed at least every 6 months?</t>
  </si>
  <si>
    <t xml:space="preserve">Firewall managed by MSP; no periodic rule review; several legacy any-any rules present.</t>
  </si>
  <si>
    <t xml:space="preserve">Firewall config</t>
  </si>
  <si>
    <t xml:space="preserve">Unreviewed firewall rules (incl. permissive any-any) expand the attack surface.</t>
  </si>
  <si>
    <t xml:space="preserve">Perform a firewall rule review; remove/justify permissive rules; schedule 6-monthly reviews.</t>
  </si>
  <si>
    <t xml:space="preserve">NW-03</t>
  </si>
  <si>
    <t xml:space="preserve">Remote access exposure</t>
  </si>
  <si>
    <t xml:space="preserve">Is remote administrative access restricted, brokered and logged (no direct internet exposure)?</t>
  </si>
  <si>
    <t xml:space="preserve">RDP was exposed to the internet for two servers; migration behind VPN in progress.</t>
  </si>
  <si>
    <t xml:space="preserve">External scan result</t>
  </si>
  <si>
    <t xml:space="preserve">Critical</t>
  </si>
  <si>
    <t xml:space="preserve">Internet-exposed RDP presents a critical remote-compromise vector.</t>
  </si>
  <si>
    <t xml:space="preserve">Remove all direct internet RDP exposure; broker admin access via VPN/PAM with MFA and logging.</t>
  </si>
  <si>
    <t xml:space="preserve">VM-01</t>
  </si>
  <si>
    <t xml:space="preserve">Vulnerability Mgmt</t>
  </si>
  <si>
    <t xml:space="preserve">Patch management</t>
  </si>
  <si>
    <t xml:space="preserve">Are systems patched within defined SLAs based on severity?</t>
  </si>
  <si>
    <t xml:space="preserve">Patching performed monthly for workstations, ad hoc for servers; no formal SLA.</t>
  </si>
  <si>
    <t xml:space="preserve">Patch reports</t>
  </si>
  <si>
    <t xml:space="preserve">Absence of a patch SLA leads to delayed remediation of critical vulnerabilities.</t>
  </si>
  <si>
    <t xml:space="preserve">Define and enforce patch SLAs (e.g. critical ≤ 14 days); track compliance monthly.</t>
  </si>
  <si>
    <t xml:space="preserve">VM-02</t>
  </si>
  <si>
    <t xml:space="preserve">Testing coverage</t>
  </si>
  <si>
    <t xml:space="preserve">Are regular vulnerability scans and periodic penetration tests conducted?</t>
  </si>
  <si>
    <t xml:space="preserve">Annual external penetration test; no internal / authenticated scanning.</t>
  </si>
  <si>
    <t xml:space="preserve">Pentest report</t>
  </si>
  <si>
    <t xml:space="preserve">Testing coverage is limited to an annual external scope; internal exposure is not assessed.</t>
  </si>
  <si>
    <t xml:space="preserve">Implement recurring authenticated vulnerability scanning; expand pentest scope to internal.</t>
  </si>
  <si>
    <t xml:space="preserve">EP-01</t>
  </si>
  <si>
    <t xml:space="preserve">Endpoint Security</t>
  </si>
  <si>
    <t xml:space="preserve">Endpoint protection</t>
  </si>
  <si>
    <t xml:space="preserve">Is EDR / anti-malware deployed on all endpoints and servers with central management?</t>
  </si>
  <si>
    <t xml:space="preserve">EDR on 100% of workstations; 4 legacy servers unprotected.</t>
  </si>
  <si>
    <t xml:space="preserve">EDR console</t>
  </si>
  <si>
    <t xml:space="preserve">A coverage gap on legacy servers leaves critical assets without endpoint detection.</t>
  </si>
  <si>
    <t xml:space="preserve">Deploy EDR to all servers, or formally isolate / decommission unsupported legacy systems.</t>
  </si>
  <si>
    <t xml:space="preserve">EP-02</t>
  </si>
  <si>
    <t xml:space="preserve">Removable media</t>
  </si>
  <si>
    <t xml:space="preserve">Are removable-media and data-transfer channels controlled?</t>
  </si>
  <si>
    <t xml:space="preserve">USB storage is not restricted on standard endpoints.</t>
  </si>
  <si>
    <t xml:space="preserve">Policy; config</t>
  </si>
  <si>
    <t xml:space="preserve">Uncontrolled removable media enables data leakage and malware introduction.</t>
  </si>
  <si>
    <t xml:space="preserve">Enforce USB / device control via endpoint policy; permit exceptions by approval only.</t>
  </si>
  <si>
    <t xml:space="preserve">LM-01</t>
  </si>
  <si>
    <t xml:space="preserve">Logging &amp; Monitoring</t>
  </si>
  <si>
    <t xml:space="preserve">Centralised logging</t>
  </si>
  <si>
    <t xml:space="preserve">Are security-relevant events centrally collected (SIEM) and retained per policy?</t>
  </si>
  <si>
    <t xml:space="preserve">Key systems forward logs to SIEM; retention 90 days; network devices not integrated.</t>
  </si>
  <si>
    <t xml:space="preserve">SIEM config</t>
  </si>
  <si>
    <t xml:space="preserve">Log coverage and retention are partial; gaps hinder detection and forensic investigation.</t>
  </si>
  <si>
    <t xml:space="preserve">Onboard remaining sources (network, cloud, identity); extend retention to policy (≥ 12 months).</t>
  </si>
  <si>
    <t xml:space="preserve">SOC / IT Security</t>
  </si>
  <si>
    <t xml:space="preserve">LM-02</t>
  </si>
  <si>
    <t xml:space="preserve">Detection &amp; response</t>
  </si>
  <si>
    <t xml:space="preserve">Are security alerts monitored and triaged (24/7 or defined coverage)?</t>
  </si>
  <si>
    <t xml:space="preserve">Alerts reviewed during business hours only; no after-hours coverage.</t>
  </si>
  <si>
    <t xml:space="preserve">Absence of after-hours monitoring extends attacker dwell time outside business hours.</t>
  </si>
  <si>
    <t xml:space="preserve">Establish 24/7 monitoring (in-house or MDR); define alert triage and escalation runbooks.</t>
  </si>
  <si>
    <t xml:space="preserve">DP-01</t>
  </si>
  <si>
    <t xml:space="preserve">Data Protection</t>
  </si>
  <si>
    <t xml:space="preserve">Encryption</t>
  </si>
  <si>
    <t xml:space="preserve">Is sensitive data encrypted at rest and in transit (incl. cardholder / PII)?</t>
  </si>
  <si>
    <t xml:space="preserve">TLS enforced externally; database at-rest encryption not enabled on one system.</t>
  </si>
  <si>
    <t xml:space="preserve">Config review</t>
  </si>
  <si>
    <t xml:space="preserve">Sensitive data at rest is not uniformly encrypted, risking exposure if storage is compromised.</t>
  </si>
  <si>
    <t xml:space="preserve">Enable at-rest encryption on all systems holding sensitive / cardholder data; manage keys securely.</t>
  </si>
  <si>
    <t xml:space="preserve">DBA / IT Security</t>
  </si>
  <si>
    <t xml:space="preserve">DP-02</t>
  </si>
  <si>
    <t xml:space="preserve">Data classification</t>
  </si>
  <si>
    <t xml:space="preserve">Is data classified and handled according to a classification scheme?</t>
  </si>
  <si>
    <t xml:space="preserve">No formal data-classification scheme in use.</t>
  </si>
  <si>
    <t xml:space="preserve">Without classification, protection controls cannot be applied proportionately to data sensitivity.</t>
  </si>
  <si>
    <t xml:space="preserve">Define and roll out a data-classification policy with handling rules and labelling.</t>
  </si>
  <si>
    <t xml:space="preserve">TP-01</t>
  </si>
  <si>
    <t xml:space="preserve">Third-Party / Vendor</t>
  </si>
  <si>
    <t xml:space="preserve">Vendor risk</t>
  </si>
  <si>
    <t xml:space="preserve">Are third parties risk-assessed and bound by security &amp; data-protection obligations?</t>
  </si>
  <si>
    <t xml:space="preserve">Contracts include confidentiality; no formal vendor security assessment or DPA for all vendors.</t>
  </si>
  <si>
    <t xml:space="preserve">Contract sample</t>
  </si>
  <si>
    <t xml:space="preserve">Vendor security risk is not consistently assessed; some processors lack DPAs.</t>
  </si>
  <si>
    <t xml:space="preserve">Implement vendor risk assessments and DPAs; maintain a vendor register with review dates.</t>
  </si>
  <si>
    <t xml:space="preserve">Procurement / CISO</t>
  </si>
  <si>
    <t xml:space="preserve">IR-01</t>
  </si>
  <si>
    <t xml:space="preserve">Incident Management</t>
  </si>
  <si>
    <t xml:space="preserve">IR plan &amp; testing</t>
  </si>
  <si>
    <t xml:space="preserve">Is there a documented, tested incident-response plan with defined roles and contacts?</t>
  </si>
  <si>
    <t xml:space="preserve">IR plan exists and roles are defined; no tabletop / exercise conducted.</t>
  </si>
  <si>
    <t xml:space="preserve">IR plan doc</t>
  </si>
  <si>
    <t xml:space="preserve">The IR plan is untested; response effectiveness under a real incident is unverified.</t>
  </si>
  <si>
    <t xml:space="preserve">Conduct and document at least annual IR tabletop exercises; update the plan from lessons learned.</t>
  </si>
  <si>
    <t xml:space="preserve">CISO / SOC</t>
  </si>
  <si>
    <t xml:space="preserve">IR-02</t>
  </si>
  <si>
    <t xml:space="preserve">Reporting obligations</t>
  </si>
  <si>
    <t xml:space="preserve">Are incidents logged, classified and reported to regulators / stakeholders as required?</t>
  </si>
  <si>
    <t xml:space="preserve">Incidents logged in ticketing; regulatory reporting obligations not mapped.</t>
  </si>
  <si>
    <t xml:space="preserve">Ticket sample</t>
  </si>
  <si>
    <t xml:space="preserve">Regulatory reporting timelines are not mapped; risk of non-compliant breach notification.</t>
  </si>
  <si>
    <t xml:space="preserve">Map regulatory reporting obligations (e.g. CBAR) and embed them in the IR runbook.</t>
  </si>
  <si>
    <t xml:space="preserve">CISO / Legal</t>
  </si>
  <si>
    <t xml:space="preserve">AM-01</t>
  </si>
  <si>
    <t xml:space="preserve">Asset Management</t>
  </si>
  <si>
    <t xml:space="preserve">Asset inventory</t>
  </si>
  <si>
    <t xml:space="preserve">Is there a complete, current inventory of hardware and software assets with owners?</t>
  </si>
  <si>
    <t xml:space="preserve">CMDB exists for servers; workstation and software inventory incomplete.</t>
  </si>
  <si>
    <t xml:space="preserve">CMDB export</t>
  </si>
  <si>
    <t xml:space="preserve">An incomplete asset inventory undermines patching, licensing and incident scoping.</t>
  </si>
  <si>
    <t xml:space="preserve">Complete and reconcile the asset inventory (hardware + software) with assigned owners; automate discovery.</t>
  </si>
  <si>
    <t xml:space="preserve">CL-01</t>
  </si>
  <si>
    <t xml:space="preserve">Cloud Security</t>
  </si>
  <si>
    <t xml:space="preserve">Cloud configuration</t>
  </si>
  <si>
    <t xml:space="preserve">Are cloud environments hardened to a benchmark (e.g. CIS) and monitored for misconfiguration?</t>
  </si>
  <si>
    <t xml:space="preserve">Cloud used for email and backup; no CSPM or benchmark review performed.</t>
  </si>
  <si>
    <t xml:space="preserve">Cloud configurations are not benchmarked or monitored, risking exposure through misconfiguration.</t>
  </si>
  <si>
    <t xml:space="preserve">Perform a CIS-benchmark review; deploy CSPM / monitoring; remediate high-risk misconfigurations.</t>
  </si>
  <si>
    <t xml:space="preserve">Cloud / IT Security</t>
  </si>
  <si>
    <t xml:space="preserve">PH-01</t>
  </si>
  <si>
    <t xml:space="preserve">Physical Security</t>
  </si>
  <si>
    <t xml:space="preserve">Physical access</t>
  </si>
  <si>
    <t xml:space="preserve">Are server rooms / data centres access-controlled, logged and monitored (CCTV)?</t>
  </si>
  <si>
    <t xml:space="preserve">Server room badge-controlled; access logs retained; CCTV present and recording.</t>
  </si>
  <si>
    <t xml:space="preserve">Access logs; site visit</t>
  </si>
  <si>
    <t xml:space="preserve">Physical access controls are adequate and monitored.</t>
  </si>
  <si>
    <t xml:space="preserve">No action required; continue periodic access-list reviews.</t>
  </si>
  <si>
    <t xml:space="preserve">Facilities / IT</t>
  </si>
  <si>
    <t xml:space="preserve">SA-01</t>
  </si>
  <si>
    <t xml:space="preserve">Security Awareness</t>
  </si>
  <si>
    <t xml:space="preserve">Training &amp; phishing</t>
  </si>
  <si>
    <t xml:space="preserve">Is security-awareness training delivered and are phishing simulations run periodically?</t>
  </si>
  <si>
    <t xml:space="preserve">Onboarding training only; no ongoing awareness programme or phishing simulations.</t>
  </si>
  <si>
    <t xml:space="preserve">Training records</t>
  </si>
  <si>
    <t xml:space="preserve">Lack of ongoing awareness / phishing testing increases susceptibility to social engineering.</t>
  </si>
  <si>
    <t xml:space="preserve">Implement annual awareness training and periodic phishing simulations with tracked metrics.</t>
  </si>
  <si>
    <t xml:space="preserve">HR / CISO</t>
  </si>
  <si>
    <t xml:space="preserve">AUDIT SUMMARY DASHBOARD</t>
  </si>
  <si>
    <t xml:space="preserve">Auto-calculated from the ‘Audit Checklist’ sheet.</t>
  </si>
  <si>
    <t xml:space="preserve">By Compliance Status</t>
  </si>
  <si>
    <t xml:space="preserve">By Remediation Status</t>
  </si>
  <si>
    <t xml:space="preserve">Category</t>
  </si>
  <si>
    <t xml:space="preserve">Count</t>
  </si>
  <si>
    <t xml:space="preserve">Not Applicable</t>
  </si>
  <si>
    <t xml:space="preserve">Overdue</t>
  </si>
  <si>
    <t xml:space="preserve">TOTAL</t>
  </si>
  <si>
    <t xml:space="preserve">Not Started</t>
  </si>
  <si>
    <t xml:space="preserve">By Risk Rating</t>
  </si>
  <si>
    <t xml:space="preserve">Open / in-progress findings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</si>
</sst>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243746"/>
      <name val="Arial"/>
      <family val="0"/>
      <charset val="1"/>
    </font>
    <font>
      <sz val="11"/>
      <color rgb="FF5E7A90"/>
      <name val="Arial"/>
      <family val="0"/>
      <charset val="1"/>
    </font>
    <font>
      <b val="true"/>
      <sz val="12"/>
      <color rgb="FF243746"/>
      <name val="Arial"/>
      <family val="0"/>
      <charset val="1"/>
    </font>
    <font>
      <sz val="10"/>
      <color rgb="FF243746"/>
      <name val="Arial"/>
      <family val="0"/>
      <charset val="1"/>
    </font>
    <font>
      <sz val="10"/>
      <color rgb="FF232B33"/>
      <name val="Arial"/>
      <family val="0"/>
      <charset val="1"/>
    </font>
    <font>
      <b val="true"/>
      <sz val="10"/>
      <color rgb="FF243746"/>
      <name val="Arial"/>
      <family val="0"/>
      <charset val="1"/>
    </font>
    <font>
      <sz val="10"/>
      <color rgb="FF7F8C8D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sz val="9"/>
      <color rgb="FF24374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232B33"/>
      <name val="Arial"/>
      <family val="0"/>
      <charset val="1"/>
    </font>
    <font>
      <b val="true"/>
      <sz val="16"/>
      <color rgb="FF243746"/>
      <name val="Arial"/>
      <family val="0"/>
      <charset val="1"/>
    </font>
    <font>
      <sz val="9"/>
      <color rgb="FF5E7A90"/>
      <name val="Arial"/>
      <family val="0"/>
      <charset val="1"/>
    </font>
    <font>
      <b val="true"/>
      <sz val="11"/>
      <color rgb="FF243746"/>
      <name val="Arial"/>
      <family val="0"/>
      <charset val="1"/>
    </font>
    <font>
      <b val="true"/>
      <sz val="14"/>
      <color rgb="FFC0392B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243746"/>
        <bgColor rgb="FF232B33"/>
      </patternFill>
    </fill>
    <fill>
      <patternFill patternType="solid">
        <fgColor rgb="FFEAEEF1"/>
        <bgColor rgb="FFF5F8FA"/>
      </patternFill>
    </fill>
    <fill>
      <patternFill patternType="solid">
        <fgColor rgb="FFFFFFFF"/>
        <bgColor rgb="FFF5F8FA"/>
      </patternFill>
    </fill>
    <fill>
      <patternFill patternType="solid">
        <fgColor rgb="FFF5F8FA"/>
        <bgColor rgb="FFFFFFFF"/>
      </patternFill>
    </fill>
    <fill>
      <patternFill patternType="solid">
        <fgColor rgb="FF1E8449"/>
        <bgColor rgb="FF008080"/>
      </patternFill>
    </fill>
    <fill>
      <patternFill patternType="solid">
        <fgColor rgb="FFE67E22"/>
        <bgColor rgb="FFFF9900"/>
      </patternFill>
    </fill>
    <fill>
      <patternFill patternType="solid">
        <fgColor rgb="FF2471A3"/>
        <bgColor rgb="FF008080"/>
      </patternFill>
    </fill>
    <fill>
      <patternFill patternType="solid">
        <fgColor rgb="FFC0392B"/>
        <bgColor rgb="FF922B21"/>
      </patternFill>
    </fill>
    <fill>
      <patternFill patternType="solid">
        <fgColor rgb="FF7F8C8D"/>
        <bgColor rgb="FF969696"/>
      </patternFill>
    </fill>
    <fill>
      <patternFill patternType="solid">
        <fgColor rgb="FF922B21"/>
        <bgColor rgb="FF99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8DE"/>
      </left>
      <right style="thin">
        <color rgb="FFD0D8DE"/>
      </right>
      <top style="thin">
        <color rgb="FFD0D8DE"/>
      </top>
      <bottom style="thin">
        <color rgb="FFD0D8D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14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6">
    <dxf>
      <fill>
        <patternFill patternType="solid">
          <fgColor rgb="FF243746"/>
          <bgColor rgb="FF000000"/>
        </patternFill>
      </fill>
    </dxf>
    <dxf>
      <fill>
        <patternFill patternType="solid">
          <fgColor rgb="FFF5F8FA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232B33"/>
          <bgColor rgb="FF000000"/>
        </patternFill>
      </fill>
    </dxf>
    <dxf>
      <fill>
        <patternFill patternType="solid">
          <fgColor rgb="FF1E8449"/>
          <bgColor rgb="FF000000"/>
        </patternFill>
      </fill>
    </dxf>
    <dxf>
      <fill>
        <patternFill patternType="solid">
          <fgColor rgb="FFC0392B"/>
          <bgColor rgb="FF000000"/>
        </patternFill>
      </fill>
    </dxf>
    <dxf>
      <fill>
        <patternFill patternType="solid">
          <fgColor rgb="FFE67E22"/>
          <bgColor rgb="FF000000"/>
        </patternFill>
      </fill>
    </dxf>
    <dxf>
      <fill>
        <patternFill patternType="solid">
          <fgColor rgb="FF922B21"/>
          <bgColor rgb="FF000000"/>
        </patternFill>
      </fill>
    </dxf>
    <dxf>
      <fill>
        <patternFill patternType="solid">
          <fgColor rgb="FF2471A3"/>
          <bgColor rgb="FF000000"/>
        </patternFill>
      </fill>
    </dxf>
    <dxf>
      <font>
        <name val="Arial"/>
        <charset val="1"/>
        <family val="0"/>
        <b val="1"/>
        <color rgb="FFFFFFFF"/>
        <sz val="9"/>
      </font>
      <fill>
        <patternFill>
          <bgColor rgb="FFC0392B"/>
        </patternFill>
      </fill>
    </dxf>
    <dxf>
      <font>
        <name val="Arial"/>
        <charset val="1"/>
        <family val="0"/>
        <b val="1"/>
        <color rgb="FFFFFFFF"/>
        <sz val="9"/>
      </font>
      <fill>
        <patternFill>
          <bgColor rgb="FFE67E22"/>
        </patternFill>
      </fill>
    </dxf>
    <dxf>
      <font>
        <name val="Arial"/>
        <charset val="1"/>
        <family val="0"/>
        <b val="1"/>
        <color rgb="FFFFFFFF"/>
        <sz val="9"/>
      </font>
      <fill>
        <patternFill>
          <bgColor rgb="FF1E8449"/>
        </patternFill>
      </fill>
    </dxf>
    <dxf>
      <font>
        <name val="Arial"/>
        <charset val="1"/>
        <family val="0"/>
        <b val="1"/>
        <color rgb="FFFFFFFF"/>
        <sz val="9"/>
      </font>
      <fill>
        <patternFill>
          <bgColor rgb="FF7F8C8D"/>
        </patternFill>
      </fill>
    </dxf>
    <dxf>
      <font>
        <name val="Arial"/>
        <charset val="1"/>
        <family val="0"/>
        <b val="1"/>
        <color rgb="FFFFFFFF"/>
        <sz val="9"/>
      </font>
      <fill>
        <patternFill>
          <bgColor rgb="FF922B21"/>
        </patternFill>
      </fill>
    </dxf>
    <dxf>
      <font>
        <name val="Arial"/>
        <charset val="1"/>
        <family val="0"/>
        <b val="1"/>
        <color rgb="FFFFFFFF"/>
        <sz val="9"/>
      </font>
      <fill>
        <patternFill>
          <bgColor rgb="FF2471A3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8C8D"/>
      <rgbColor rgb="FF9999FF"/>
      <rgbColor rgb="FFC0392B"/>
      <rgbColor rgb="FFF5F8FA"/>
      <rgbColor rgb="FFEAEEF1"/>
      <rgbColor rgb="FF660066"/>
      <rgbColor rgb="FFFF8080"/>
      <rgbColor rgb="FF2471A3"/>
      <rgbColor rgb="FFD0D8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67E22"/>
      <rgbColor rgb="FF5E7A90"/>
      <rgbColor rgb="FF969696"/>
      <rgbColor rgb="FF243746"/>
      <rgbColor rgb="FF1E8449"/>
      <rgbColor rgb="FF003300"/>
      <rgbColor rgb="FF333300"/>
      <rgbColor rgb="FF922B21"/>
      <rgbColor rgb="FF993366"/>
      <rgbColor rgb="FF333399"/>
      <rgbColor rgb="FF232B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95"/>
  </cols>
  <sheetData>
    <row r="1" customFormat="false" ht="24.4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4" customFormat="false" ht="15" hidden="false" customHeight="false" outlineLevel="0" collapsed="false">
      <c r="B4" s="3" t="s">
        <v>2</v>
      </c>
    </row>
    <row r="5" customFormat="false" ht="46.25" hidden="false" customHeight="false" outlineLevel="0" collapsed="false">
      <c r="B5" s="4"/>
      <c r="C5" s="5" t="s">
        <v>3</v>
      </c>
    </row>
    <row r="7" customFormat="false" ht="15" hidden="false" customHeight="false" outlineLevel="0" collapsed="false">
      <c r="B7" s="3" t="s">
        <v>4</v>
      </c>
    </row>
    <row r="8" customFormat="false" ht="15" hidden="false" customHeight="false" outlineLevel="0" collapsed="false">
      <c r="B8" s="4"/>
      <c r="C8" s="5" t="s">
        <v>5</v>
      </c>
    </row>
    <row r="9" customFormat="false" ht="15" hidden="false" customHeight="false" outlineLevel="0" collapsed="false">
      <c r="B9" s="4"/>
      <c r="C9" s="5" t="s">
        <v>6</v>
      </c>
    </row>
    <row r="10" customFormat="false" ht="15" hidden="false" customHeight="false" outlineLevel="0" collapsed="false">
      <c r="B10" s="4"/>
      <c r="C10" s="5" t="s">
        <v>7</v>
      </c>
    </row>
    <row r="11" customFormat="false" ht="23.85" hidden="false" customHeight="false" outlineLevel="0" collapsed="false">
      <c r="B11" s="4"/>
      <c r="C11" s="5" t="s">
        <v>8</v>
      </c>
    </row>
    <row r="12" customFormat="false" ht="15" hidden="false" customHeight="false" outlineLevel="0" collapsed="false">
      <c r="B12" s="4"/>
      <c r="C12" s="5" t="s">
        <v>9</v>
      </c>
    </row>
    <row r="13" customFormat="false" ht="15" hidden="false" customHeight="false" outlineLevel="0" collapsed="false">
      <c r="B13" s="4"/>
      <c r="C13" s="5" t="s">
        <v>10</v>
      </c>
    </row>
    <row r="15" customFormat="false" ht="15" hidden="false" customHeight="false" outlineLevel="0" collapsed="false">
      <c r="B15" s="3" t="s">
        <v>11</v>
      </c>
    </row>
    <row r="16" customFormat="false" ht="15" hidden="false" customHeight="false" outlineLevel="0" collapsed="false">
      <c r="B16" s="6" t="s">
        <v>12</v>
      </c>
      <c r="C16" s="5" t="s">
        <v>13</v>
      </c>
    </row>
    <row r="17" customFormat="false" ht="15" hidden="false" customHeight="false" outlineLevel="0" collapsed="false">
      <c r="B17" s="6" t="s">
        <v>14</v>
      </c>
      <c r="C17" s="5" t="s">
        <v>15</v>
      </c>
    </row>
    <row r="18" customFormat="false" ht="15" hidden="false" customHeight="false" outlineLevel="0" collapsed="false">
      <c r="B18" s="6" t="s">
        <v>16</v>
      </c>
      <c r="C18" s="5" t="s">
        <v>17</v>
      </c>
    </row>
    <row r="19" customFormat="false" ht="15" hidden="false" customHeight="false" outlineLevel="0" collapsed="false">
      <c r="B19" s="6" t="s">
        <v>18</v>
      </c>
      <c r="C19" s="5" t="s">
        <v>19</v>
      </c>
    </row>
    <row r="20" customFormat="false" ht="15" hidden="false" customHeight="false" outlineLevel="0" collapsed="false">
      <c r="B20" s="6" t="s">
        <v>20</v>
      </c>
      <c r="C20" s="5" t="s">
        <v>21</v>
      </c>
    </row>
    <row r="21" customFormat="false" ht="15" hidden="false" customHeight="false" outlineLevel="0" collapsed="false">
      <c r="B21" s="6" t="s">
        <v>22</v>
      </c>
      <c r="C21" s="5" t="s">
        <v>23</v>
      </c>
    </row>
    <row r="22" customFormat="false" ht="15" hidden="false" customHeight="false" outlineLevel="0" collapsed="false">
      <c r="B22" s="6" t="s">
        <v>24</v>
      </c>
      <c r="C22" s="5" t="s">
        <v>25</v>
      </c>
    </row>
    <row r="23" customFormat="false" ht="15" hidden="false" customHeight="false" outlineLevel="0" collapsed="false">
      <c r="B23" s="6" t="s">
        <v>26</v>
      </c>
      <c r="C23" s="5" t="s">
        <v>27</v>
      </c>
    </row>
    <row r="24" customFormat="false" ht="15" hidden="false" customHeight="false" outlineLevel="0" collapsed="false">
      <c r="B24" s="6" t="s">
        <v>28</v>
      </c>
      <c r="C24" s="5" t="s">
        <v>29</v>
      </c>
    </row>
    <row r="25" customFormat="false" ht="15" hidden="false" customHeight="false" outlineLevel="0" collapsed="false">
      <c r="B25" s="6" t="s">
        <v>30</v>
      </c>
      <c r="C25" s="5" t="s">
        <v>31</v>
      </c>
    </row>
    <row r="26" customFormat="false" ht="15" hidden="false" customHeight="false" outlineLevel="0" collapsed="false">
      <c r="B26" s="6" t="s">
        <v>32</v>
      </c>
      <c r="C26" s="5" t="s">
        <v>33</v>
      </c>
    </row>
    <row r="27" customFormat="false" ht="15" hidden="false" customHeight="false" outlineLevel="0" collapsed="false">
      <c r="B27" s="6" t="s">
        <v>34</v>
      </c>
      <c r="C27" s="5" t="s">
        <v>35</v>
      </c>
    </row>
    <row r="28" customFormat="false" ht="15" hidden="false" customHeight="false" outlineLevel="0" collapsed="false">
      <c r="B28" s="6" t="s">
        <v>36</v>
      </c>
      <c r="C28" s="5" t="s">
        <v>37</v>
      </c>
    </row>
    <row r="30" customFormat="false" ht="35.05" hidden="false" customHeight="false" outlineLevel="0" collapsed="false">
      <c r="B30" s="6" t="s">
        <v>38</v>
      </c>
      <c r="C30" s="7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3" topLeftCell="E4" activePane="bottomRight" state="frozen"/>
      <selection pane="topLeft" activeCell="A1" activeCellId="0" sqref="A1"/>
      <selection pane="topRight" activeCell="E1" activeCellId="0" sqref="E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8"/>
    <col collapsed="false" customWidth="true" hidden="false" outlineLevel="0" max="3" min="3" style="0" width="20"/>
    <col collapsed="false" customWidth="true" hidden="false" outlineLevel="0" max="5" min="4" style="0" width="40"/>
    <col collapsed="false" customWidth="true" hidden="false" outlineLevel="0" max="6" min="6" style="0" width="18"/>
    <col collapsed="false" customWidth="true" hidden="false" outlineLevel="0" max="7" min="7" style="0" width="15"/>
    <col collapsed="false" customWidth="true" hidden="false" outlineLevel="0" max="8" min="8" style="0" width="11"/>
    <col collapsed="false" customWidth="true" hidden="false" outlineLevel="0" max="10" min="9" style="0" width="44"/>
    <col collapsed="false" customWidth="true" hidden="false" outlineLevel="0" max="11" min="11" style="0" width="16"/>
    <col collapsed="false" customWidth="true" hidden="false" outlineLevel="0" max="12" min="12" style="0" width="14"/>
    <col collapsed="false" customWidth="true" hidden="false" outlineLevel="0" max="13" min="13" style="0" width="13"/>
  </cols>
  <sheetData>
    <row r="1" customFormat="false" ht="30" hidden="false" customHeight="true" outlineLevel="0" collapsed="false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customFormat="false" ht="19.5" hidden="false" customHeight="true" outlineLevel="0" collapsed="false">
      <c r="A2" s="9" t="s">
        <v>40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customFormat="false" ht="33.75" hidden="false" customHeight="true" outlineLevel="0" collapsed="false">
      <c r="A3" s="10" t="s">
        <v>12</v>
      </c>
      <c r="B3" s="10" t="s">
        <v>14</v>
      </c>
      <c r="C3" s="10" t="s">
        <v>16</v>
      </c>
      <c r="D3" s="10" t="s">
        <v>18</v>
      </c>
      <c r="E3" s="10" t="s">
        <v>20</v>
      </c>
      <c r="F3" s="10" t="s">
        <v>22</v>
      </c>
      <c r="G3" s="10" t="s">
        <v>24</v>
      </c>
      <c r="H3" s="10" t="s">
        <v>26</v>
      </c>
      <c r="I3" s="10" t="s">
        <v>28</v>
      </c>
      <c r="J3" s="10" t="s">
        <v>30</v>
      </c>
      <c r="K3" s="10" t="s">
        <v>32</v>
      </c>
      <c r="L3" s="10" t="s">
        <v>34</v>
      </c>
      <c r="M3" s="10" t="s">
        <v>36</v>
      </c>
    </row>
    <row r="4" customFormat="false" ht="57.75" hidden="false" customHeight="true" outlineLevel="0" collapsed="false">
      <c r="A4" s="11" t="s">
        <v>41</v>
      </c>
      <c r="B4" s="11" t="s">
        <v>42</v>
      </c>
      <c r="C4" s="11" t="s">
        <v>43</v>
      </c>
      <c r="D4" s="11" t="s">
        <v>44</v>
      </c>
      <c r="E4" s="11" t="s">
        <v>45</v>
      </c>
      <c r="F4" s="11" t="s">
        <v>46</v>
      </c>
      <c r="G4" s="12" t="s">
        <v>47</v>
      </c>
      <c r="H4" s="12" t="s">
        <v>48</v>
      </c>
      <c r="I4" s="11" t="s">
        <v>49</v>
      </c>
      <c r="J4" s="11" t="s">
        <v>50</v>
      </c>
      <c r="K4" s="11" t="s">
        <v>51</v>
      </c>
      <c r="L4" s="13" t="n">
        <v>46263</v>
      </c>
      <c r="M4" s="12" t="s">
        <v>52</v>
      </c>
    </row>
    <row r="5" customFormat="false" ht="57.75" hidden="false" customHeight="true" outlineLevel="0" collapsed="false">
      <c r="A5" s="14" t="s">
        <v>53</v>
      </c>
      <c r="B5" s="14" t="s">
        <v>42</v>
      </c>
      <c r="C5" s="14" t="s">
        <v>54</v>
      </c>
      <c r="D5" s="14" t="s">
        <v>55</v>
      </c>
      <c r="E5" s="14" t="s">
        <v>56</v>
      </c>
      <c r="F5" s="14" t="s">
        <v>57</v>
      </c>
      <c r="G5" s="15" t="s">
        <v>58</v>
      </c>
      <c r="H5" s="15" t="s">
        <v>48</v>
      </c>
      <c r="I5" s="14" t="s">
        <v>59</v>
      </c>
      <c r="J5" s="14" t="s">
        <v>60</v>
      </c>
      <c r="K5" s="14" t="s">
        <v>51</v>
      </c>
      <c r="L5" s="16" t="n">
        <v>46278</v>
      </c>
      <c r="M5" s="15" t="s">
        <v>52</v>
      </c>
    </row>
    <row r="6" customFormat="false" ht="57.75" hidden="false" customHeight="true" outlineLevel="0" collapsed="false">
      <c r="A6" s="11" t="s">
        <v>61</v>
      </c>
      <c r="B6" s="11" t="s">
        <v>42</v>
      </c>
      <c r="C6" s="11" t="s">
        <v>62</v>
      </c>
      <c r="D6" s="11" t="s">
        <v>63</v>
      </c>
      <c r="E6" s="11" t="s">
        <v>64</v>
      </c>
      <c r="F6" s="11" t="s">
        <v>65</v>
      </c>
      <c r="G6" s="12" t="s">
        <v>66</v>
      </c>
      <c r="H6" s="12" t="s">
        <v>67</v>
      </c>
      <c r="I6" s="11" t="s">
        <v>68</v>
      </c>
      <c r="J6" s="11" t="s">
        <v>69</v>
      </c>
      <c r="K6" s="11" t="s">
        <v>70</v>
      </c>
      <c r="L6" s="11"/>
      <c r="M6" s="12" t="s">
        <v>71</v>
      </c>
    </row>
    <row r="7" customFormat="false" ht="57.75" hidden="false" customHeight="true" outlineLevel="0" collapsed="false">
      <c r="A7" s="14" t="s">
        <v>72</v>
      </c>
      <c r="B7" s="14" t="s">
        <v>73</v>
      </c>
      <c r="C7" s="14" t="s">
        <v>74</v>
      </c>
      <c r="D7" s="14" t="s">
        <v>75</v>
      </c>
      <c r="E7" s="14" t="s">
        <v>76</v>
      </c>
      <c r="F7" s="14" t="s">
        <v>77</v>
      </c>
      <c r="G7" s="15" t="s">
        <v>58</v>
      </c>
      <c r="H7" s="15" t="s">
        <v>78</v>
      </c>
      <c r="I7" s="14" t="s">
        <v>79</v>
      </c>
      <c r="J7" s="14" t="s">
        <v>80</v>
      </c>
      <c r="K7" s="14" t="s">
        <v>81</v>
      </c>
      <c r="L7" s="16" t="n">
        <v>46278</v>
      </c>
      <c r="M7" s="15" t="s">
        <v>52</v>
      </c>
    </row>
    <row r="8" customFormat="false" ht="57.75" hidden="false" customHeight="true" outlineLevel="0" collapsed="false">
      <c r="A8" s="11" t="s">
        <v>82</v>
      </c>
      <c r="B8" s="11" t="s">
        <v>73</v>
      </c>
      <c r="C8" s="11" t="s">
        <v>83</v>
      </c>
      <c r="D8" s="11" t="s">
        <v>84</v>
      </c>
      <c r="E8" s="11" t="s">
        <v>85</v>
      </c>
      <c r="F8" s="11" t="s">
        <v>57</v>
      </c>
      <c r="G8" s="12" t="s">
        <v>58</v>
      </c>
      <c r="H8" s="12" t="s">
        <v>78</v>
      </c>
      <c r="I8" s="11" t="s">
        <v>86</v>
      </c>
      <c r="J8" s="11" t="s">
        <v>87</v>
      </c>
      <c r="K8" s="11" t="s">
        <v>88</v>
      </c>
      <c r="L8" s="13" t="n">
        <v>46263</v>
      </c>
      <c r="M8" s="12" t="s">
        <v>52</v>
      </c>
    </row>
    <row r="9" customFormat="false" ht="57.75" hidden="false" customHeight="true" outlineLevel="0" collapsed="false">
      <c r="A9" s="14" t="s">
        <v>89</v>
      </c>
      <c r="B9" s="14" t="s">
        <v>73</v>
      </c>
      <c r="C9" s="14" t="s">
        <v>90</v>
      </c>
      <c r="D9" s="14" t="s">
        <v>91</v>
      </c>
      <c r="E9" s="14" t="s">
        <v>92</v>
      </c>
      <c r="F9" s="14" t="s">
        <v>93</v>
      </c>
      <c r="G9" s="15" t="s">
        <v>47</v>
      </c>
      <c r="H9" s="15" t="s">
        <v>78</v>
      </c>
      <c r="I9" s="14" t="s">
        <v>94</v>
      </c>
      <c r="J9" s="14" t="s">
        <v>95</v>
      </c>
      <c r="K9" s="14" t="s">
        <v>88</v>
      </c>
      <c r="L9" s="16" t="n">
        <v>46248</v>
      </c>
      <c r="M9" s="15" t="s">
        <v>96</v>
      </c>
    </row>
    <row r="10" customFormat="false" ht="57.75" hidden="false" customHeight="true" outlineLevel="0" collapsed="false">
      <c r="A10" s="11" t="s">
        <v>97</v>
      </c>
      <c r="B10" s="11" t="s">
        <v>73</v>
      </c>
      <c r="C10" s="11" t="s">
        <v>98</v>
      </c>
      <c r="D10" s="11" t="s">
        <v>99</v>
      </c>
      <c r="E10" s="11" t="s">
        <v>100</v>
      </c>
      <c r="F10" s="11" t="s">
        <v>101</v>
      </c>
      <c r="G10" s="12" t="s">
        <v>47</v>
      </c>
      <c r="H10" s="12" t="s">
        <v>48</v>
      </c>
      <c r="I10" s="11" t="s">
        <v>102</v>
      </c>
      <c r="J10" s="11" t="s">
        <v>103</v>
      </c>
      <c r="K10" s="11" t="s">
        <v>81</v>
      </c>
      <c r="L10" s="13" t="n">
        <v>46278</v>
      </c>
      <c r="M10" s="12" t="s">
        <v>52</v>
      </c>
    </row>
    <row r="11" customFormat="false" ht="57.75" hidden="false" customHeight="true" outlineLevel="0" collapsed="false">
      <c r="A11" s="14" t="s">
        <v>104</v>
      </c>
      <c r="B11" s="14" t="s">
        <v>73</v>
      </c>
      <c r="C11" s="14" t="s">
        <v>105</v>
      </c>
      <c r="D11" s="14" t="s">
        <v>106</v>
      </c>
      <c r="E11" s="14" t="s">
        <v>107</v>
      </c>
      <c r="F11" s="14" t="s">
        <v>108</v>
      </c>
      <c r="G11" s="15" t="s">
        <v>58</v>
      </c>
      <c r="H11" s="15" t="s">
        <v>78</v>
      </c>
      <c r="I11" s="14" t="s">
        <v>109</v>
      </c>
      <c r="J11" s="14" t="s">
        <v>110</v>
      </c>
      <c r="K11" s="14" t="s">
        <v>111</v>
      </c>
      <c r="L11" s="16" t="n">
        <v>46263</v>
      </c>
      <c r="M11" s="15" t="s">
        <v>52</v>
      </c>
    </row>
    <row r="12" customFormat="false" ht="57.75" hidden="false" customHeight="true" outlineLevel="0" collapsed="false">
      <c r="A12" s="11" t="s">
        <v>112</v>
      </c>
      <c r="B12" s="11" t="s">
        <v>113</v>
      </c>
      <c r="C12" s="11" t="s">
        <v>114</v>
      </c>
      <c r="D12" s="11" t="s">
        <v>115</v>
      </c>
      <c r="E12" s="11" t="s">
        <v>116</v>
      </c>
      <c r="F12" s="11" t="s">
        <v>117</v>
      </c>
      <c r="G12" s="12" t="s">
        <v>47</v>
      </c>
      <c r="H12" s="12" t="s">
        <v>48</v>
      </c>
      <c r="I12" s="11" t="s">
        <v>118</v>
      </c>
      <c r="J12" s="11" t="s">
        <v>119</v>
      </c>
      <c r="K12" s="11" t="s">
        <v>81</v>
      </c>
      <c r="L12" s="13" t="n">
        <v>46278</v>
      </c>
      <c r="M12" s="12" t="s">
        <v>52</v>
      </c>
    </row>
    <row r="13" customFormat="false" ht="57.75" hidden="false" customHeight="true" outlineLevel="0" collapsed="false">
      <c r="A13" s="14" t="s">
        <v>120</v>
      </c>
      <c r="B13" s="14" t="s">
        <v>113</v>
      </c>
      <c r="C13" s="14" t="s">
        <v>121</v>
      </c>
      <c r="D13" s="14" t="s">
        <v>122</v>
      </c>
      <c r="E13" s="14" t="s">
        <v>123</v>
      </c>
      <c r="F13" s="14" t="s">
        <v>124</v>
      </c>
      <c r="G13" s="15" t="s">
        <v>47</v>
      </c>
      <c r="H13" s="15" t="s">
        <v>48</v>
      </c>
      <c r="I13" s="14" t="s">
        <v>125</v>
      </c>
      <c r="J13" s="14" t="s">
        <v>126</v>
      </c>
      <c r="K13" s="14" t="s">
        <v>81</v>
      </c>
      <c r="L13" s="16" t="n">
        <v>46278</v>
      </c>
      <c r="M13" s="15" t="s">
        <v>52</v>
      </c>
    </row>
    <row r="14" customFormat="false" ht="57.75" hidden="false" customHeight="true" outlineLevel="0" collapsed="false">
      <c r="A14" s="11" t="s">
        <v>127</v>
      </c>
      <c r="B14" s="11" t="s">
        <v>128</v>
      </c>
      <c r="C14" s="11" t="s">
        <v>129</v>
      </c>
      <c r="D14" s="11" t="s">
        <v>130</v>
      </c>
      <c r="E14" s="11" t="s">
        <v>131</v>
      </c>
      <c r="F14" s="11" t="s">
        <v>132</v>
      </c>
      <c r="G14" s="12" t="s">
        <v>47</v>
      </c>
      <c r="H14" s="12" t="s">
        <v>48</v>
      </c>
      <c r="I14" s="11" t="s">
        <v>133</v>
      </c>
      <c r="J14" s="11" t="s">
        <v>134</v>
      </c>
      <c r="K14" s="11" t="s">
        <v>81</v>
      </c>
      <c r="L14" s="13" t="n">
        <v>46263</v>
      </c>
      <c r="M14" s="12" t="s">
        <v>52</v>
      </c>
    </row>
    <row r="15" customFormat="false" ht="57.75" hidden="false" customHeight="true" outlineLevel="0" collapsed="false">
      <c r="A15" s="14" t="s">
        <v>135</v>
      </c>
      <c r="B15" s="14" t="s">
        <v>128</v>
      </c>
      <c r="C15" s="14" t="s">
        <v>136</v>
      </c>
      <c r="D15" s="14" t="s">
        <v>137</v>
      </c>
      <c r="E15" s="14" t="s">
        <v>138</v>
      </c>
      <c r="F15" s="14" t="s">
        <v>57</v>
      </c>
      <c r="G15" s="15" t="s">
        <v>58</v>
      </c>
      <c r="H15" s="15" t="s">
        <v>78</v>
      </c>
      <c r="I15" s="14" t="s">
        <v>139</v>
      </c>
      <c r="J15" s="14" t="s">
        <v>140</v>
      </c>
      <c r="K15" s="14" t="s">
        <v>81</v>
      </c>
      <c r="L15" s="16" t="n">
        <v>46263</v>
      </c>
      <c r="M15" s="15" t="s">
        <v>52</v>
      </c>
    </row>
    <row r="16" customFormat="false" ht="57.75" hidden="false" customHeight="true" outlineLevel="0" collapsed="false">
      <c r="A16" s="11" t="s">
        <v>141</v>
      </c>
      <c r="B16" s="11" t="s">
        <v>142</v>
      </c>
      <c r="C16" s="11" t="s">
        <v>143</v>
      </c>
      <c r="D16" s="11" t="s">
        <v>144</v>
      </c>
      <c r="E16" s="11" t="s">
        <v>145</v>
      </c>
      <c r="F16" s="11" t="s">
        <v>146</v>
      </c>
      <c r="G16" s="12" t="s">
        <v>58</v>
      </c>
      <c r="H16" s="12" t="s">
        <v>78</v>
      </c>
      <c r="I16" s="11" t="s">
        <v>147</v>
      </c>
      <c r="J16" s="11" t="s">
        <v>148</v>
      </c>
      <c r="K16" s="11" t="s">
        <v>149</v>
      </c>
      <c r="L16" s="13" t="n">
        <v>46308</v>
      </c>
      <c r="M16" s="12" t="s">
        <v>52</v>
      </c>
    </row>
    <row r="17" customFormat="false" ht="57.75" hidden="false" customHeight="true" outlineLevel="0" collapsed="false">
      <c r="A17" s="14" t="s">
        <v>150</v>
      </c>
      <c r="B17" s="14" t="s">
        <v>151</v>
      </c>
      <c r="C17" s="14" t="s">
        <v>152</v>
      </c>
      <c r="D17" s="14" t="s">
        <v>153</v>
      </c>
      <c r="E17" s="14" t="s">
        <v>154</v>
      </c>
      <c r="F17" s="14" t="s">
        <v>155</v>
      </c>
      <c r="G17" s="15" t="s">
        <v>47</v>
      </c>
      <c r="H17" s="15" t="s">
        <v>78</v>
      </c>
      <c r="I17" s="14" t="s">
        <v>156</v>
      </c>
      <c r="J17" s="14" t="s">
        <v>157</v>
      </c>
      <c r="K17" s="14" t="s">
        <v>158</v>
      </c>
      <c r="L17" s="16" t="n">
        <v>46278</v>
      </c>
      <c r="M17" s="15" t="s">
        <v>52</v>
      </c>
    </row>
    <row r="18" customFormat="false" ht="57.75" hidden="false" customHeight="true" outlineLevel="0" collapsed="false">
      <c r="A18" s="11" t="s">
        <v>159</v>
      </c>
      <c r="B18" s="11" t="s">
        <v>151</v>
      </c>
      <c r="C18" s="11" t="s">
        <v>160</v>
      </c>
      <c r="D18" s="11" t="s">
        <v>161</v>
      </c>
      <c r="E18" s="11" t="s">
        <v>162</v>
      </c>
      <c r="F18" s="11" t="s">
        <v>163</v>
      </c>
      <c r="G18" s="12" t="s">
        <v>58</v>
      </c>
      <c r="H18" s="12" t="s">
        <v>78</v>
      </c>
      <c r="I18" s="11" t="s">
        <v>164</v>
      </c>
      <c r="J18" s="11" t="s">
        <v>165</v>
      </c>
      <c r="K18" s="11" t="s">
        <v>158</v>
      </c>
      <c r="L18" s="13" t="n">
        <v>46263</v>
      </c>
      <c r="M18" s="12" t="s">
        <v>52</v>
      </c>
    </row>
    <row r="19" customFormat="false" ht="57.75" hidden="false" customHeight="true" outlineLevel="0" collapsed="false">
      <c r="A19" s="14" t="s">
        <v>166</v>
      </c>
      <c r="B19" s="14" t="s">
        <v>151</v>
      </c>
      <c r="C19" s="14" t="s">
        <v>167</v>
      </c>
      <c r="D19" s="14" t="s">
        <v>168</v>
      </c>
      <c r="E19" s="14" t="s">
        <v>169</v>
      </c>
      <c r="F19" s="14" t="s">
        <v>170</v>
      </c>
      <c r="G19" s="15" t="s">
        <v>58</v>
      </c>
      <c r="H19" s="15" t="s">
        <v>171</v>
      </c>
      <c r="I19" s="14" t="s">
        <v>172</v>
      </c>
      <c r="J19" s="14" t="s">
        <v>173</v>
      </c>
      <c r="K19" s="14" t="s">
        <v>158</v>
      </c>
      <c r="L19" s="16" t="n">
        <v>46248</v>
      </c>
      <c r="M19" s="15" t="s">
        <v>96</v>
      </c>
    </row>
    <row r="20" customFormat="false" ht="57.75" hidden="false" customHeight="true" outlineLevel="0" collapsed="false">
      <c r="A20" s="11" t="s">
        <v>174</v>
      </c>
      <c r="B20" s="11" t="s">
        <v>175</v>
      </c>
      <c r="C20" s="11" t="s">
        <v>176</v>
      </c>
      <c r="D20" s="11" t="s">
        <v>177</v>
      </c>
      <c r="E20" s="11" t="s">
        <v>178</v>
      </c>
      <c r="F20" s="11" t="s">
        <v>179</v>
      </c>
      <c r="G20" s="12" t="s">
        <v>58</v>
      </c>
      <c r="H20" s="12" t="s">
        <v>78</v>
      </c>
      <c r="I20" s="11" t="s">
        <v>180</v>
      </c>
      <c r="J20" s="11" t="s">
        <v>181</v>
      </c>
      <c r="K20" s="11" t="s">
        <v>81</v>
      </c>
      <c r="L20" s="13" t="n">
        <v>46263</v>
      </c>
      <c r="M20" s="12" t="s">
        <v>52</v>
      </c>
    </row>
    <row r="21" customFormat="false" ht="57.75" hidden="false" customHeight="true" outlineLevel="0" collapsed="false">
      <c r="A21" s="14" t="s">
        <v>182</v>
      </c>
      <c r="B21" s="14" t="s">
        <v>175</v>
      </c>
      <c r="C21" s="14" t="s">
        <v>183</v>
      </c>
      <c r="D21" s="14" t="s">
        <v>184</v>
      </c>
      <c r="E21" s="14" t="s">
        <v>185</v>
      </c>
      <c r="F21" s="14" t="s">
        <v>186</v>
      </c>
      <c r="G21" s="15" t="s">
        <v>47</v>
      </c>
      <c r="H21" s="15" t="s">
        <v>48</v>
      </c>
      <c r="I21" s="14" t="s">
        <v>187</v>
      </c>
      <c r="J21" s="14" t="s">
        <v>188</v>
      </c>
      <c r="K21" s="14" t="s">
        <v>88</v>
      </c>
      <c r="L21" s="16" t="n">
        <v>46308</v>
      </c>
      <c r="M21" s="15" t="s">
        <v>52</v>
      </c>
    </row>
    <row r="22" customFormat="false" ht="57.75" hidden="false" customHeight="true" outlineLevel="0" collapsed="false">
      <c r="A22" s="11" t="s">
        <v>189</v>
      </c>
      <c r="B22" s="11" t="s">
        <v>190</v>
      </c>
      <c r="C22" s="11" t="s">
        <v>191</v>
      </c>
      <c r="D22" s="11" t="s">
        <v>192</v>
      </c>
      <c r="E22" s="11" t="s">
        <v>193</v>
      </c>
      <c r="F22" s="11" t="s">
        <v>194</v>
      </c>
      <c r="G22" s="12" t="s">
        <v>47</v>
      </c>
      <c r="H22" s="12" t="s">
        <v>78</v>
      </c>
      <c r="I22" s="11" t="s">
        <v>195</v>
      </c>
      <c r="J22" s="11" t="s">
        <v>196</v>
      </c>
      <c r="K22" s="11" t="s">
        <v>81</v>
      </c>
      <c r="L22" s="13" t="n">
        <v>46278</v>
      </c>
      <c r="M22" s="12" t="s">
        <v>52</v>
      </c>
    </row>
    <row r="23" customFormat="false" ht="57.75" hidden="false" customHeight="true" outlineLevel="0" collapsed="false">
      <c r="A23" s="14" t="s">
        <v>197</v>
      </c>
      <c r="B23" s="14" t="s">
        <v>190</v>
      </c>
      <c r="C23" s="14" t="s">
        <v>198</v>
      </c>
      <c r="D23" s="14" t="s">
        <v>199</v>
      </c>
      <c r="E23" s="14" t="s">
        <v>200</v>
      </c>
      <c r="F23" s="14" t="s">
        <v>201</v>
      </c>
      <c r="G23" s="15" t="s">
        <v>58</v>
      </c>
      <c r="H23" s="15" t="s">
        <v>48</v>
      </c>
      <c r="I23" s="14" t="s">
        <v>202</v>
      </c>
      <c r="J23" s="14" t="s">
        <v>203</v>
      </c>
      <c r="K23" s="14" t="s">
        <v>88</v>
      </c>
      <c r="L23" s="16" t="n">
        <v>46278</v>
      </c>
      <c r="M23" s="15" t="s">
        <v>52</v>
      </c>
    </row>
    <row r="24" customFormat="false" ht="57.75" hidden="false" customHeight="true" outlineLevel="0" collapsed="false">
      <c r="A24" s="11" t="s">
        <v>204</v>
      </c>
      <c r="B24" s="11" t="s">
        <v>205</v>
      </c>
      <c r="C24" s="11" t="s">
        <v>206</v>
      </c>
      <c r="D24" s="11" t="s">
        <v>207</v>
      </c>
      <c r="E24" s="11" t="s">
        <v>208</v>
      </c>
      <c r="F24" s="11" t="s">
        <v>209</v>
      </c>
      <c r="G24" s="12" t="s">
        <v>47</v>
      </c>
      <c r="H24" s="12" t="s">
        <v>48</v>
      </c>
      <c r="I24" s="11" t="s">
        <v>210</v>
      </c>
      <c r="J24" s="11" t="s">
        <v>211</v>
      </c>
      <c r="K24" s="11" t="s">
        <v>212</v>
      </c>
      <c r="L24" s="13" t="n">
        <v>46308</v>
      </c>
      <c r="M24" s="12" t="s">
        <v>52</v>
      </c>
    </row>
    <row r="25" customFormat="false" ht="57.75" hidden="false" customHeight="true" outlineLevel="0" collapsed="false">
      <c r="A25" s="14" t="s">
        <v>213</v>
      </c>
      <c r="B25" s="14" t="s">
        <v>205</v>
      </c>
      <c r="C25" s="14" t="s">
        <v>214</v>
      </c>
      <c r="D25" s="14" t="s">
        <v>215</v>
      </c>
      <c r="E25" s="14" t="s">
        <v>216</v>
      </c>
      <c r="F25" s="14" t="s">
        <v>57</v>
      </c>
      <c r="G25" s="15" t="s">
        <v>47</v>
      </c>
      <c r="H25" s="15" t="s">
        <v>78</v>
      </c>
      <c r="I25" s="14" t="s">
        <v>217</v>
      </c>
      <c r="J25" s="14" t="s">
        <v>218</v>
      </c>
      <c r="K25" s="14" t="s">
        <v>212</v>
      </c>
      <c r="L25" s="16" t="n">
        <v>46308</v>
      </c>
      <c r="M25" s="15" t="s">
        <v>52</v>
      </c>
    </row>
    <row r="26" customFormat="false" ht="57.75" hidden="false" customHeight="true" outlineLevel="0" collapsed="false">
      <c r="A26" s="11" t="s">
        <v>219</v>
      </c>
      <c r="B26" s="11" t="s">
        <v>220</v>
      </c>
      <c r="C26" s="11" t="s">
        <v>221</v>
      </c>
      <c r="D26" s="11" t="s">
        <v>222</v>
      </c>
      <c r="E26" s="11" t="s">
        <v>223</v>
      </c>
      <c r="F26" s="11" t="s">
        <v>224</v>
      </c>
      <c r="G26" s="12" t="s">
        <v>47</v>
      </c>
      <c r="H26" s="12" t="s">
        <v>78</v>
      </c>
      <c r="I26" s="11" t="s">
        <v>225</v>
      </c>
      <c r="J26" s="11" t="s">
        <v>226</v>
      </c>
      <c r="K26" s="11" t="s">
        <v>227</v>
      </c>
      <c r="L26" s="13" t="n">
        <v>46278</v>
      </c>
      <c r="M26" s="12" t="s">
        <v>52</v>
      </c>
    </row>
    <row r="27" customFormat="false" ht="57.75" hidden="false" customHeight="true" outlineLevel="0" collapsed="false">
      <c r="A27" s="14" t="s">
        <v>228</v>
      </c>
      <c r="B27" s="14" t="s">
        <v>220</v>
      </c>
      <c r="C27" s="14" t="s">
        <v>229</v>
      </c>
      <c r="D27" s="14" t="s">
        <v>230</v>
      </c>
      <c r="E27" s="14" t="s">
        <v>231</v>
      </c>
      <c r="F27" s="14" t="s">
        <v>57</v>
      </c>
      <c r="G27" s="15" t="s">
        <v>58</v>
      </c>
      <c r="H27" s="15" t="s">
        <v>48</v>
      </c>
      <c r="I27" s="14" t="s">
        <v>232</v>
      </c>
      <c r="J27" s="14" t="s">
        <v>233</v>
      </c>
      <c r="K27" s="14" t="s">
        <v>51</v>
      </c>
      <c r="L27" s="16" t="n">
        <v>46308</v>
      </c>
      <c r="M27" s="15" t="s">
        <v>52</v>
      </c>
    </row>
    <row r="28" customFormat="false" ht="57.75" hidden="false" customHeight="true" outlineLevel="0" collapsed="false">
      <c r="A28" s="11" t="s">
        <v>234</v>
      </c>
      <c r="B28" s="11" t="s">
        <v>235</v>
      </c>
      <c r="C28" s="11" t="s">
        <v>236</v>
      </c>
      <c r="D28" s="11" t="s">
        <v>237</v>
      </c>
      <c r="E28" s="11" t="s">
        <v>238</v>
      </c>
      <c r="F28" s="11" t="s">
        <v>239</v>
      </c>
      <c r="G28" s="12" t="s">
        <v>47</v>
      </c>
      <c r="H28" s="12" t="s">
        <v>48</v>
      </c>
      <c r="I28" s="11" t="s">
        <v>240</v>
      </c>
      <c r="J28" s="11" t="s">
        <v>241</v>
      </c>
      <c r="K28" s="11" t="s">
        <v>242</v>
      </c>
      <c r="L28" s="13" t="n">
        <v>46308</v>
      </c>
      <c r="M28" s="12" t="s">
        <v>52</v>
      </c>
    </row>
    <row r="29" customFormat="false" ht="57.75" hidden="false" customHeight="true" outlineLevel="0" collapsed="false">
      <c r="A29" s="14" t="s">
        <v>243</v>
      </c>
      <c r="B29" s="14" t="s">
        <v>244</v>
      </c>
      <c r="C29" s="14" t="s">
        <v>245</v>
      </c>
      <c r="D29" s="14" t="s">
        <v>246</v>
      </c>
      <c r="E29" s="14" t="s">
        <v>247</v>
      </c>
      <c r="F29" s="14" t="s">
        <v>248</v>
      </c>
      <c r="G29" s="15" t="s">
        <v>47</v>
      </c>
      <c r="H29" s="15" t="s">
        <v>78</v>
      </c>
      <c r="I29" s="14" t="s">
        <v>249</v>
      </c>
      <c r="J29" s="14" t="s">
        <v>250</v>
      </c>
      <c r="K29" s="14" t="s">
        <v>251</v>
      </c>
      <c r="L29" s="16" t="n">
        <v>46308</v>
      </c>
      <c r="M29" s="15" t="s">
        <v>52</v>
      </c>
    </row>
    <row r="30" customFormat="false" ht="57.75" hidden="false" customHeight="true" outlineLevel="0" collapsed="false">
      <c r="A30" s="11" t="s">
        <v>252</v>
      </c>
      <c r="B30" s="11" t="s">
        <v>244</v>
      </c>
      <c r="C30" s="11" t="s">
        <v>253</v>
      </c>
      <c r="D30" s="11" t="s">
        <v>254</v>
      </c>
      <c r="E30" s="11" t="s">
        <v>255</v>
      </c>
      <c r="F30" s="11" t="s">
        <v>256</v>
      </c>
      <c r="G30" s="12" t="s">
        <v>47</v>
      </c>
      <c r="H30" s="12" t="s">
        <v>48</v>
      </c>
      <c r="I30" s="11" t="s">
        <v>257</v>
      </c>
      <c r="J30" s="11" t="s">
        <v>258</v>
      </c>
      <c r="K30" s="11" t="s">
        <v>259</v>
      </c>
      <c r="L30" s="13" t="n">
        <v>46308</v>
      </c>
      <c r="M30" s="12" t="s">
        <v>52</v>
      </c>
    </row>
    <row r="31" customFormat="false" ht="57.75" hidden="false" customHeight="true" outlineLevel="0" collapsed="false">
      <c r="A31" s="14" t="s">
        <v>260</v>
      </c>
      <c r="B31" s="14" t="s">
        <v>261</v>
      </c>
      <c r="C31" s="14" t="s">
        <v>262</v>
      </c>
      <c r="D31" s="14" t="s">
        <v>263</v>
      </c>
      <c r="E31" s="14" t="s">
        <v>264</v>
      </c>
      <c r="F31" s="14" t="s">
        <v>265</v>
      </c>
      <c r="G31" s="15" t="s">
        <v>47</v>
      </c>
      <c r="H31" s="15" t="s">
        <v>48</v>
      </c>
      <c r="I31" s="14" t="s">
        <v>266</v>
      </c>
      <c r="J31" s="14" t="s">
        <v>267</v>
      </c>
      <c r="K31" s="14" t="s">
        <v>81</v>
      </c>
      <c r="L31" s="16" t="n">
        <v>46308</v>
      </c>
      <c r="M31" s="15" t="s">
        <v>52</v>
      </c>
    </row>
    <row r="32" customFormat="false" ht="57.75" hidden="false" customHeight="true" outlineLevel="0" collapsed="false">
      <c r="A32" s="11" t="s">
        <v>268</v>
      </c>
      <c r="B32" s="11" t="s">
        <v>269</v>
      </c>
      <c r="C32" s="11" t="s">
        <v>270</v>
      </c>
      <c r="D32" s="11" t="s">
        <v>271</v>
      </c>
      <c r="E32" s="11" t="s">
        <v>272</v>
      </c>
      <c r="F32" s="11" t="s">
        <v>57</v>
      </c>
      <c r="G32" s="12" t="s">
        <v>58</v>
      </c>
      <c r="H32" s="12" t="s">
        <v>48</v>
      </c>
      <c r="I32" s="11" t="s">
        <v>273</v>
      </c>
      <c r="J32" s="11" t="s">
        <v>274</v>
      </c>
      <c r="K32" s="11" t="s">
        <v>275</v>
      </c>
      <c r="L32" s="13" t="n">
        <v>46308</v>
      </c>
      <c r="M32" s="12" t="s">
        <v>52</v>
      </c>
    </row>
    <row r="33" customFormat="false" ht="57.75" hidden="false" customHeight="true" outlineLevel="0" collapsed="false">
      <c r="A33" s="14" t="s">
        <v>276</v>
      </c>
      <c r="B33" s="14" t="s">
        <v>277</v>
      </c>
      <c r="C33" s="14" t="s">
        <v>278</v>
      </c>
      <c r="D33" s="14" t="s">
        <v>279</v>
      </c>
      <c r="E33" s="14" t="s">
        <v>280</v>
      </c>
      <c r="F33" s="14" t="s">
        <v>281</v>
      </c>
      <c r="G33" s="15" t="s">
        <v>66</v>
      </c>
      <c r="H33" s="15" t="s">
        <v>67</v>
      </c>
      <c r="I33" s="14" t="s">
        <v>282</v>
      </c>
      <c r="J33" s="14" t="s">
        <v>283</v>
      </c>
      <c r="K33" s="14" t="s">
        <v>284</v>
      </c>
      <c r="L33" s="14"/>
      <c r="M33" s="15" t="s">
        <v>71</v>
      </c>
    </row>
    <row r="34" customFormat="false" ht="57.75" hidden="false" customHeight="true" outlineLevel="0" collapsed="false">
      <c r="A34" s="11" t="s">
        <v>285</v>
      </c>
      <c r="B34" s="11" t="s">
        <v>286</v>
      </c>
      <c r="C34" s="11" t="s">
        <v>287</v>
      </c>
      <c r="D34" s="11" t="s">
        <v>288</v>
      </c>
      <c r="E34" s="11" t="s">
        <v>289</v>
      </c>
      <c r="F34" s="11" t="s">
        <v>290</v>
      </c>
      <c r="G34" s="12" t="s">
        <v>58</v>
      </c>
      <c r="H34" s="12" t="s">
        <v>48</v>
      </c>
      <c r="I34" s="11" t="s">
        <v>291</v>
      </c>
      <c r="J34" s="11" t="s">
        <v>292</v>
      </c>
      <c r="K34" s="11" t="s">
        <v>293</v>
      </c>
      <c r="L34" s="13" t="n">
        <v>46308</v>
      </c>
      <c r="M34" s="12" t="s">
        <v>52</v>
      </c>
    </row>
    <row r="35" customFormat="false" ht="45.75" hidden="false" customHeight="true" outlineLevel="0" collapsed="false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8"/>
      <c r="M35" s="17"/>
    </row>
    <row r="36" customFormat="false" ht="45.75" hidden="false" customHeight="true" outlineLevel="0" collapsed="false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8"/>
      <c r="M36" s="17"/>
    </row>
    <row r="37" customFormat="false" ht="45.75" hidden="false" customHeight="true" outlineLevel="0" collapsed="false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8"/>
      <c r="M37" s="17"/>
    </row>
    <row r="38" customFormat="false" ht="45.75" hidden="false" customHeight="true" outlineLevel="0" collapsed="false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8"/>
      <c r="M38" s="17"/>
    </row>
    <row r="39" customFormat="false" ht="45.75" hidden="false" customHeight="true" outlineLevel="0" collapsed="false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8"/>
      <c r="M39" s="17"/>
    </row>
    <row r="40" customFormat="false" ht="45.75" hidden="false" customHeight="true" outlineLevel="0" collapsed="false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8"/>
      <c r="M40" s="17"/>
    </row>
    <row r="41" customFormat="false" ht="45.75" hidden="false" customHeight="true" outlineLevel="0" collapsed="false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8"/>
      <c r="M41" s="17"/>
    </row>
    <row r="42" customFormat="false" ht="45.75" hidden="false" customHeight="true" outlineLevel="0" collapsed="false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8"/>
      <c r="M42" s="17"/>
    </row>
    <row r="43" customFormat="false" ht="45.75" hidden="false" customHeight="true" outlineLevel="0" collapsed="false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8"/>
      <c r="M43" s="17"/>
    </row>
    <row r="44" customFormat="false" ht="45.75" hidden="false" customHeight="true" outlineLevel="0" collapsed="false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8"/>
      <c r="M44" s="17"/>
    </row>
  </sheetData>
  <autoFilter ref="A3:M44"/>
  <mergeCells count="2">
    <mergeCell ref="A1:M1"/>
    <mergeCell ref="A2:M2"/>
  </mergeCells>
  <conditionalFormatting sqref="G4:G44">
    <cfRule type="cellIs" priority="2" operator="equal" aboveAverage="0" equalAverage="0" bottom="0" percent="0" rank="0" text="" dxfId="10">
      <formula>"Non-Compliant"</formula>
    </cfRule>
    <cfRule type="cellIs" priority="3" operator="equal" aboveAverage="0" equalAverage="0" bottom="0" percent="0" rank="0" text="" dxfId="11">
      <formula>"Partially Compliant"</formula>
    </cfRule>
    <cfRule type="cellIs" priority="4" operator="equal" aboveAverage="0" equalAverage="0" bottom="0" percent="0" rank="0" text="" dxfId="12">
      <formula>"Compliant"</formula>
    </cfRule>
    <cfRule type="cellIs" priority="5" operator="equal" aboveAverage="0" equalAverage="0" bottom="0" percent="0" rank="0" text="" dxfId="13">
      <formula>"Not Applicable"</formula>
    </cfRule>
  </conditionalFormatting>
  <conditionalFormatting sqref="H4:H44">
    <cfRule type="cellIs" priority="6" operator="equal" aboveAverage="0" equalAverage="0" bottom="0" percent="0" rank="0" text="" dxfId="14">
      <formula>"Critical"</formula>
    </cfRule>
    <cfRule type="cellIs" priority="7" operator="equal" aboveAverage="0" equalAverage="0" bottom="0" percent="0" rank="0" text="" dxfId="10">
      <formula>"High"</formula>
    </cfRule>
    <cfRule type="cellIs" priority="8" operator="equal" aboveAverage="0" equalAverage="0" bottom="0" percent="0" rank="0" text="" dxfId="11">
      <formula>"Medium"</formula>
    </cfRule>
    <cfRule type="cellIs" priority="9" operator="equal" aboveAverage="0" equalAverage="0" bottom="0" percent="0" rank="0" text="" dxfId="12">
      <formula>"Low"</formula>
    </cfRule>
    <cfRule type="cellIs" priority="10" operator="equal" aboveAverage="0" equalAverage="0" bottom="0" percent="0" rank="0" text="" dxfId="13">
      <formula>"N/A"</formula>
    </cfRule>
  </conditionalFormatting>
  <conditionalFormatting sqref="M4:M44">
    <cfRule type="cellIs" priority="11" operator="equal" aboveAverage="0" equalAverage="0" bottom="0" percent="0" rank="0" text="" dxfId="10">
      <formula>"Overdue"</formula>
    </cfRule>
    <cfRule type="cellIs" priority="12" operator="equal" aboveAverage="0" equalAverage="0" bottom="0" percent="0" rank="0" text="" dxfId="11">
      <formula>"Open"</formula>
    </cfRule>
    <cfRule type="cellIs" priority="13" operator="equal" aboveAverage="0" equalAverage="0" bottom="0" percent="0" rank="0" text="" dxfId="15">
      <formula>"In Progress"</formula>
    </cfRule>
    <cfRule type="cellIs" priority="14" operator="equal" aboveAverage="0" equalAverage="0" bottom="0" percent="0" rank="0" text="" dxfId="12">
      <formula>"Closed"</formula>
    </cfRule>
    <cfRule type="cellIs" priority="15" operator="equal" aboveAverage="0" equalAverage="0" bottom="0" percent="0" rank="0" text="" dxfId="13">
      <formula>"Not Started"</formula>
    </cfRule>
  </conditionalFormatting>
  <dataValidations count="3">
    <dataValidation allowBlank="true" errorStyle="stop" operator="between" showDropDown="false" showErrorMessage="false" showInputMessage="false" sqref="G4:G44" type="list">
      <formula1>"Compliant,Partially Compliant,Non-Compliant,Not Applicable"</formula1>
      <formula2>0</formula2>
    </dataValidation>
    <dataValidation allowBlank="true" errorStyle="stop" operator="between" showDropDown="false" showErrorMessage="false" showInputMessage="false" sqref="H4:H44" type="list">
      <formula1>"Critical,High,Medium,Low,N/A"</formula1>
      <formula2>0</formula2>
    </dataValidation>
    <dataValidation allowBlank="true" errorStyle="stop" operator="between" showDropDown="false" showErrorMessage="false" showInputMessage="false" sqref="M4:M44" type="list">
      <formula1>"Open,In Progress,Closed,Overdue,Not Started"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12"/>
    <col collapsed="false" customWidth="true" hidden="false" outlineLevel="0" max="4" min="4" style="0" width="3"/>
    <col collapsed="false" customWidth="true" hidden="false" outlineLevel="0" max="5" min="5" style="0" width="26"/>
    <col collapsed="false" customWidth="true" hidden="false" outlineLevel="0" max="6" min="6" style="0" width="12"/>
  </cols>
  <sheetData>
    <row r="1" customFormat="false" ht="19.7" hidden="false" customHeight="false" outlineLevel="0" collapsed="false">
      <c r="B1" s="19" t="s">
        <v>294</v>
      </c>
    </row>
    <row r="2" customFormat="false" ht="15" hidden="false" customHeight="false" outlineLevel="0" collapsed="false">
      <c r="B2" s="20" t="s">
        <v>295</v>
      </c>
    </row>
    <row r="4" customFormat="false" ht="15" hidden="false" customHeight="false" outlineLevel="0" collapsed="false">
      <c r="B4" s="3" t="s">
        <v>296</v>
      </c>
      <c r="E4" s="3" t="s">
        <v>297</v>
      </c>
    </row>
    <row r="5" customFormat="false" ht="15" hidden="false" customHeight="false" outlineLevel="0" collapsed="false">
      <c r="B5" s="10" t="s">
        <v>298</v>
      </c>
      <c r="C5" s="10" t="s">
        <v>299</v>
      </c>
      <c r="E5" s="10" t="s">
        <v>298</v>
      </c>
      <c r="F5" s="10" t="s">
        <v>299</v>
      </c>
    </row>
    <row r="6" customFormat="false" ht="15" hidden="false" customHeight="false" outlineLevel="0" collapsed="false">
      <c r="B6" s="21" t="s">
        <v>66</v>
      </c>
      <c r="C6" s="22" t="n">
        <f aca="false">COUNTIF('Audit Checklist'!$G$4:$G$44,"Compliant")</f>
        <v>2</v>
      </c>
      <c r="E6" s="23" t="s">
        <v>52</v>
      </c>
      <c r="F6" s="22" t="n">
        <f aca="false">COUNTIF('Audit Checklist'!$M$4:$M$44,"Open")</f>
        <v>27</v>
      </c>
    </row>
    <row r="7" customFormat="false" ht="15" hidden="false" customHeight="false" outlineLevel="0" collapsed="false">
      <c r="B7" s="23" t="s">
        <v>47</v>
      </c>
      <c r="C7" s="22" t="n">
        <f aca="false">COUNTIF('Audit Checklist'!$G$4:$G$44,"Partially Compliant")</f>
        <v>16</v>
      </c>
      <c r="E7" s="24" t="s">
        <v>96</v>
      </c>
      <c r="F7" s="22" t="n">
        <f aca="false">COUNTIF('Audit Checklist'!$M$4:$M$44,"In Progress")</f>
        <v>2</v>
      </c>
    </row>
    <row r="8" customFormat="false" ht="15" hidden="false" customHeight="false" outlineLevel="0" collapsed="false">
      <c r="B8" s="25" t="s">
        <v>58</v>
      </c>
      <c r="C8" s="22" t="n">
        <f aca="false">COUNTIF('Audit Checklist'!$G$4:$G$44,"Non-Compliant")</f>
        <v>13</v>
      </c>
      <c r="E8" s="21" t="s">
        <v>71</v>
      </c>
      <c r="F8" s="22" t="n">
        <f aca="false">COUNTIF('Audit Checklist'!$M$4:$M$44,"Closed")</f>
        <v>2</v>
      </c>
    </row>
    <row r="9" customFormat="false" ht="15" hidden="false" customHeight="false" outlineLevel="0" collapsed="false">
      <c r="B9" s="26" t="s">
        <v>300</v>
      </c>
      <c r="C9" s="22" t="n">
        <f aca="false">COUNTIF('Audit Checklist'!$G$4:$G$44,"Not Applicable")</f>
        <v>0</v>
      </c>
      <c r="E9" s="25" t="s">
        <v>301</v>
      </c>
      <c r="F9" s="22" t="n">
        <f aca="false">COUNTIF('Audit Checklist'!$M$4:$M$44,"Overdue")</f>
        <v>0</v>
      </c>
    </row>
    <row r="10" customFormat="false" ht="15" hidden="false" customHeight="false" outlineLevel="0" collapsed="false">
      <c r="B10" s="27" t="s">
        <v>302</v>
      </c>
      <c r="C10" s="28" t="n">
        <f aca="false">COUNTA('Audit Checklist'!$A$4:$A$44)</f>
        <v>31</v>
      </c>
      <c r="E10" s="26" t="s">
        <v>303</v>
      </c>
      <c r="F10" s="22" t="n">
        <f aca="false">COUNTIF('Audit Checklist'!$M$4:$M$44,"Not Started")</f>
        <v>0</v>
      </c>
    </row>
    <row r="11" customFormat="false" ht="15" hidden="false" customHeight="false" outlineLevel="0" collapsed="false">
      <c r="B11" s="3" t="s">
        <v>304</v>
      </c>
      <c r="E11" s="27" t="s">
        <v>302</v>
      </c>
      <c r="F11" s="28" t="n">
        <f aca="false">COUNTA('Audit Checklist'!$A$4:$A$44)</f>
        <v>31</v>
      </c>
    </row>
    <row r="12" customFormat="false" ht="15" hidden="false" customHeight="false" outlineLevel="0" collapsed="false">
      <c r="B12" s="10" t="s">
        <v>298</v>
      </c>
      <c r="C12" s="10" t="s">
        <v>299</v>
      </c>
    </row>
    <row r="13" customFormat="false" ht="15" hidden="false" customHeight="false" outlineLevel="0" collapsed="false">
      <c r="B13" s="29" t="s">
        <v>171</v>
      </c>
      <c r="C13" s="22" t="n">
        <f aca="false">COUNTIF('Audit Checklist'!$H$4:$H$44,"Critical")</f>
        <v>1</v>
      </c>
    </row>
    <row r="14" customFormat="false" ht="15" hidden="false" customHeight="false" outlineLevel="0" collapsed="false">
      <c r="B14" s="25" t="s">
        <v>78</v>
      </c>
      <c r="C14" s="22" t="n">
        <f aca="false">COUNTIF('Audit Checklist'!$H$4:$H$44,"High")</f>
        <v>13</v>
      </c>
    </row>
    <row r="15" customFormat="false" ht="15" hidden="false" customHeight="false" outlineLevel="0" collapsed="false">
      <c r="B15" s="23" t="s">
        <v>48</v>
      </c>
      <c r="C15" s="22" t="n">
        <f aca="false">COUNTIF('Audit Checklist'!$H$4:$H$44,"Medium")</f>
        <v>15</v>
      </c>
    </row>
    <row r="16" customFormat="false" ht="15" hidden="false" customHeight="false" outlineLevel="0" collapsed="false">
      <c r="B16" s="21" t="s">
        <v>67</v>
      </c>
      <c r="C16" s="22" t="n">
        <f aca="false">COUNTIF('Audit Checklist'!$H$4:$H$44,"Low")</f>
        <v>2</v>
      </c>
    </row>
    <row r="17" customFormat="false" ht="15" hidden="false" customHeight="false" outlineLevel="0" collapsed="false">
      <c r="B17" s="27" t="s">
        <v>302</v>
      </c>
      <c r="C17" s="28" t="n">
        <f aca="false">COUNTA('Audit Checklist'!$A$4:$A$44)</f>
        <v>31</v>
      </c>
    </row>
    <row r="18" customFormat="false" ht="17.35" hidden="false" customHeight="false" outlineLevel="0" collapsed="false">
      <c r="B18" s="30" t="s">
        <v>305</v>
      </c>
      <c r="C18" s="31" t="n">
        <f aca="false">COUNTIF('Audit Checklist'!$M$4:$M$44,"Open")+COUNTIF('Audit Checklist'!$M$4:$M$44,"In Progress")+COUNTIF('Audit Checklist'!$M$4:$M$44,"Overdue")</f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2026-07-17T19:37:28Z</dcterms:created>
  <dc:creator>openpyxl</dc:creator>
  <dc:description/>
  <dc:language>en-US</dc:language>
  <cp:lastModifiedBy/>
  <dcterms:modified xsi:type="dcterms:W3CDTF">2026-07-17T19:37:28Z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